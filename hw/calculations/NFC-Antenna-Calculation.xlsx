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enith-tag\hw\calculations\"/>
    </mc:Choice>
  </mc:AlternateContent>
  <xr:revisionPtr revIDLastSave="0" documentId="13_ncr:1_{7E761C7A-75D9-4C9A-BC1E-DE7FFFAC4563}" xr6:coauthVersionLast="47" xr6:coauthVersionMax="47" xr10:uidLastSave="{00000000-0000-0000-0000-000000000000}"/>
  <bookViews>
    <workbookView xWindow="-110" yWindow="-110" windowWidth="22780" windowHeight="14660" activeTab="1" xr2:uid="{47A372DE-F933-41CE-B4AB-8BD899FE7B20}"/>
  </bookViews>
  <sheets>
    <sheet name="Rev. 1" sheetId="1" r:id="rId1"/>
    <sheet name="Rev. 2" sheetId="2" r:id="rId2"/>
  </sheets>
  <definedNames>
    <definedName name="a0">'Rev. 2'!$C$18</definedName>
    <definedName name="aavg">'Rev. 2'!$C$26</definedName>
    <definedName name="b0">'Rev. 2'!$C$19</definedName>
    <definedName name="bavg">'Rev. 2'!$C$27</definedName>
    <definedName name="d">'Rev. 2'!$C$25</definedName>
    <definedName name="g">'Rev. 2'!$C$22</definedName>
    <definedName name="L_calc_H">'Rev. 2'!$C$37</definedName>
    <definedName name="m0">'Rev. 2'!$C$28</definedName>
    <definedName name="Nc">'Rev. 2'!$C$23</definedName>
    <definedName name="p">'Rev. 2'!$C$24</definedName>
    <definedName name="pi">'Rev. 2'!$C$29</definedName>
    <definedName name="t">'Rev. 2'!$C$20</definedName>
    <definedName name="w">'Rev. 2'!$C$21</definedName>
    <definedName name="x1_">'Rev. 2'!$C$32</definedName>
    <definedName name="x2_">'Rev. 2'!$C$33</definedName>
    <definedName name="x3_">'Rev. 2'!$C$34</definedName>
    <definedName name="x4_">'Rev. 2'!$C$35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E21" i="2"/>
  <c r="E19" i="2"/>
  <c r="E18" i="2"/>
  <c r="C31" i="2"/>
  <c r="C30" i="2"/>
  <c r="C27" i="2"/>
  <c r="C26" i="2"/>
  <c r="C29" i="2"/>
  <c r="C25" i="2" s="1"/>
  <c r="C7" i="2"/>
  <c r="C13" i="2" s="1"/>
  <c r="C15" i="2" s="1"/>
  <c r="C16" i="2" s="1"/>
  <c r="C25" i="1"/>
  <c r="C23" i="1"/>
  <c r="C24" i="1" s="1"/>
  <c r="C13" i="1"/>
  <c r="C15" i="1" s="1"/>
  <c r="C16" i="1" s="1"/>
  <c r="C7" i="1"/>
  <c r="C28" i="2" l="1"/>
  <c r="C34" i="2"/>
  <c r="C32" i="2"/>
  <c r="C35" i="2"/>
  <c r="C33" i="2"/>
  <c r="C27" i="1"/>
  <c r="C28" i="1" s="1"/>
  <c r="C37" i="2" l="1"/>
  <c r="C38" i="2" s="1"/>
  <c r="C39" i="2" l="1"/>
</calcChain>
</file>

<file path=xl/sharedStrings.xml><?xml version="1.0" encoding="utf-8"?>
<sst xmlns="http://schemas.openxmlformats.org/spreadsheetml/2006/main" count="126" uniqueCount="66">
  <si>
    <t>f_ideal</t>
  </si>
  <si>
    <t>MHz</t>
  </si>
  <si>
    <t>pF</t>
  </si>
  <si>
    <t>C_br</t>
  </si>
  <si>
    <t>C_it</t>
  </si>
  <si>
    <t>C_in</t>
  </si>
  <si>
    <t>C_c</t>
  </si>
  <si>
    <t>C_con</t>
  </si>
  <si>
    <t>C_ICT</t>
  </si>
  <si>
    <t>C_pIT</t>
  </si>
  <si>
    <t>H</t>
  </si>
  <si>
    <t>uH</t>
  </si>
  <si>
    <t>L_o</t>
  </si>
  <si>
    <t>D_0</t>
  </si>
  <si>
    <t>w</t>
  </si>
  <si>
    <t>g</t>
  </si>
  <si>
    <t>N</t>
  </si>
  <si>
    <t>d</t>
  </si>
  <si>
    <t>p</t>
  </si>
  <si>
    <t>D_avg</t>
  </si>
  <si>
    <t>l</t>
  </si>
  <si>
    <t>cm</t>
  </si>
  <si>
    <t>L_calc</t>
  </si>
  <si>
    <t>nH</t>
  </si>
  <si>
    <t>Antenna Capacitance</t>
  </si>
  <si>
    <t>Inter-turn Capacitance</t>
  </si>
  <si>
    <t>Bridge-Capacitance</t>
  </si>
  <si>
    <t>Realized Capacitance</t>
  </si>
  <si>
    <t>Connection Capacitance</t>
  </si>
  <si>
    <t>IC Capacitance</t>
  </si>
  <si>
    <t>Tag Capacitance</t>
  </si>
  <si>
    <t>Antenna Inductance</t>
  </si>
  <si>
    <t>Antenna Diameter</t>
  </si>
  <si>
    <t>Track Width</t>
  </si>
  <si>
    <t>Gap between Tracks</t>
  </si>
  <si>
    <t>Number of Turns</t>
  </si>
  <si>
    <t>Turn Exponent</t>
  </si>
  <si>
    <t>Average Antenna Diameter</t>
  </si>
  <si>
    <t>Average Antenna Circumference</t>
  </si>
  <si>
    <t>Equivalent Diameter of Track</t>
  </si>
  <si>
    <t>a0</t>
  </si>
  <si>
    <t>b0</t>
  </si>
  <si>
    <t>Track Thickness</t>
  </si>
  <si>
    <t>t</t>
  </si>
  <si>
    <t>Gap Between Tracks</t>
  </si>
  <si>
    <t>Nc</t>
  </si>
  <si>
    <t>Average Width</t>
  </si>
  <si>
    <t>aavg</t>
  </si>
  <si>
    <t>Average Length</t>
  </si>
  <si>
    <t>bavg</t>
  </si>
  <si>
    <t>x1</t>
  </si>
  <si>
    <t>x2</t>
  </si>
  <si>
    <t>x3</t>
  </si>
  <si>
    <t>x4</t>
  </si>
  <si>
    <t>Permeability of Free Space</t>
  </si>
  <si>
    <t>m0</t>
  </si>
  <si>
    <t>PI</t>
  </si>
  <si>
    <t>pi</t>
  </si>
  <si>
    <t>H/cm</t>
  </si>
  <si>
    <t>Antenna Width (Outer)</t>
  </si>
  <si>
    <t>Antenna Length (Outer)</t>
  </si>
  <si>
    <t>Anntenna Width (Inner)</t>
  </si>
  <si>
    <t>a1</t>
  </si>
  <si>
    <t>Antenna Width (Inner)</t>
  </si>
  <si>
    <t>b1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</si>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</sst>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77" formatCode="0.0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2" borderId="0" xfId="0" applyNumberFormat="1" applyFill="1"/>
    <xf numFmtId="164" fontId="0" fillId="0" borderId="0" xfId="0" applyNumberFormat="1"/>
    <xf numFmtId="164" fontId="1" fillId="0" borderId="0" xfId="0" applyNumberFormat="1" applyFont="1"/>
    <xf numFmtId="1" fontId="0" fillId="2" borderId="0" xfId="0" applyNumberFormat="1" applyFill="1"/>
    <xf numFmtId="177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647700</xdr:colOff>
      <xdr:row>1</xdr:row>
      <xdr:rowOff>28576</xdr:rowOff>
    </xdr:from>
    <xdr:to>
      <xdr:col>19</xdr:col>
      <xdr:colOff>466725</xdr:colOff>
      <xdr:row>36</xdr:row>
      <xdr:rowOff>47836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7BE0B4A-D165-96AD-757B-9CCC4BD76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5550" y="219076"/>
          <a:ext cx="5153025" cy="6686760"/>
        </a:xfrm>
        <a:prstGeom prst="rect">
          <a:avLst/>
        </a:prstGeom>
      </xdr:spPr>
    </xdr:pic>
    <xdr:clientData/>
  </xdr:twoCellAnchor>
  <xdr:twoCellAnchor editAs="oneCell">
    <xdr:from>
      <xdr:col>5</xdr:col>
      <xdr:colOff>723899</xdr:colOff>
      <xdr:row>36</xdr:row>
      <xdr:rowOff>76200</xdr:rowOff>
    </xdr:from>
    <xdr:to>
      <xdr:col>12</xdr:col>
      <xdr:colOff>212270</xdr:colOff>
      <xdr:row>46</xdr:row>
      <xdr:rowOff>76200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7FFE350-D0A9-E59C-2119-30AB9F997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49" y="6934200"/>
          <a:ext cx="4822371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638175</xdr:colOff>
      <xdr:row>0</xdr:row>
      <xdr:rowOff>133350</xdr:rowOff>
    </xdr:from>
    <xdr:to>
      <xdr:col>12</xdr:col>
      <xdr:colOff>695325</xdr:colOff>
      <xdr:row>34</xdr:row>
      <xdr:rowOff>123993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2B592C5-C94D-9C83-E458-6D9A7D17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6050" y="133350"/>
          <a:ext cx="5391150" cy="6467643"/>
        </a:xfrm>
        <a:prstGeom prst="rect">
          <a:avLst/>
        </a:prstGeom>
      </xdr:spPr>
    </xdr:pic>
    <xdr:clientData/>
  </xdr:twoCellAnchor>
  <xdr:twoCellAnchor editAs="oneCell">
    <xdr:from>
      <xdr:col>12</xdr:col>
      <xdr:colOff>723900</xdr:colOff>
      <xdr:row>36</xdr:row>
      <xdr:rowOff>171450</xdr:rowOff>
    </xdr:from>
    <xdr:to>
      <xdr:col>19</xdr:col>
      <xdr:colOff>723233</xdr:colOff>
      <xdr:row>43</xdr:row>
      <xdr:rowOff>28426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F08285F4-CA9A-48ED-932E-0B7298EC9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15775" y="7029450"/>
          <a:ext cx="5333333" cy="11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715861</xdr:colOff>
      <xdr:row>37</xdr:row>
      <xdr:rowOff>100314</xdr:rowOff>
    </xdr:from>
    <xdr:to>
      <xdr:col>12</xdr:col>
      <xdr:colOff>204232</xdr:colOff>
      <xdr:row>47</xdr:row>
      <xdr:rowOff>100313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5FA32EC-9061-40F5-8BB1-375A0293F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9785" y="6570884"/>
          <a:ext cx="4833624" cy="1848734"/>
        </a:xfrm>
        <a:prstGeom prst="rect">
          <a:avLst/>
        </a:prstGeom>
      </xdr:spPr>
    </xdr:pic>
    <xdr:clientData/>
  </xdr:twoCellAnchor>
  <xdr:twoCellAnchor editAs="oneCell">
    <xdr:from>
      <xdr:col>5</xdr:col>
      <xdr:colOff>638175</xdr:colOff>
      <xdr:row>0</xdr:row>
      <xdr:rowOff>133350</xdr:rowOff>
    </xdr:from>
    <xdr:to>
      <xdr:col>12</xdr:col>
      <xdr:colOff>695325</xdr:colOff>
      <xdr:row>34</xdr:row>
      <xdr:rowOff>123993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ADE0B0DD-5B8E-4067-B731-808E733DE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4325" y="133350"/>
          <a:ext cx="5391150" cy="6251743"/>
        </a:xfrm>
        <a:prstGeom prst="rect">
          <a:avLst/>
        </a:prstGeom>
      </xdr:spPr>
    </xdr:pic>
    <xdr:clientData/>
  </xdr:twoCellAnchor>
  <xdr:twoCellAnchor editAs="oneCell">
    <xdr:from>
      <xdr:col>19</xdr:col>
      <xdr:colOff>176939</xdr:colOff>
      <xdr:row>37</xdr:row>
      <xdr:rowOff>54674</xdr:rowOff>
    </xdr:from>
    <xdr:to>
      <xdr:col>26</xdr:col>
      <xdr:colOff>176271</xdr:colOff>
      <xdr:row>43</xdr:row>
      <xdr:rowOff>95799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49D31D47-4922-43EA-9BF0-29E8B1F49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2956" y="5543657"/>
          <a:ext cx="5348400" cy="1138923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1</xdr:row>
      <xdr:rowOff>1</xdr:rowOff>
    </xdr:from>
    <xdr:to>
      <xdr:col>20</xdr:col>
      <xdr:colOff>675975</xdr:colOff>
      <xdr:row>28</xdr:row>
      <xdr:rowOff>114301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DAA17381-B650-28CC-DA4A-6FB5A8724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22151" y="184151"/>
          <a:ext cx="6009974" cy="5086350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36</xdr:row>
      <xdr:rowOff>0</xdr:rowOff>
    </xdr:from>
    <xdr:to>
      <xdr:col>19</xdr:col>
      <xdr:colOff>19051</xdr:colOff>
      <xdr:row>56</xdr:row>
      <xdr:rowOff>75607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8DFF030A-37EF-C05B-4ED1-52198E508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22151" y="5340350"/>
          <a:ext cx="4591050" cy="3758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436AE-806D-43C3-B4FE-1CA180D80DA0}">
  <dimension ref="A2:D28"/>
  <sheetViews>
    <sheetView workbookViewId="0">
      <selection activeCell="C20" sqref="C20"/>
    </sheetView>
  </sheetViews>
  <sheetFormatPr baseColWidth="10" defaultRowHeight="14.5" x14ac:dyDescent="0.35"/>
  <cols>
    <col min="1" max="1" width="37.26953125" customWidth="1"/>
    <col min="3" max="3" width="16.26953125" style="3" customWidth="1"/>
  </cols>
  <sheetData>
    <row r="2" spans="1:4" x14ac:dyDescent="0.35">
      <c r="B2" t="s">
        <v>0</v>
      </c>
      <c r="C2" s="2">
        <v>14.5</v>
      </c>
      <c r="D2" t="s">
        <v>1</v>
      </c>
    </row>
    <row r="4" spans="1:4" x14ac:dyDescent="0.35">
      <c r="A4" t="s">
        <v>25</v>
      </c>
      <c r="B4" t="s">
        <v>4</v>
      </c>
      <c r="C4" s="2">
        <v>3</v>
      </c>
      <c r="D4" t="s">
        <v>2</v>
      </c>
    </row>
    <row r="5" spans="1:4" x14ac:dyDescent="0.35">
      <c r="A5" t="s">
        <v>26</v>
      </c>
      <c r="B5" t="s">
        <v>3</v>
      </c>
      <c r="C5" s="2">
        <v>0</v>
      </c>
      <c r="D5" t="s">
        <v>2</v>
      </c>
    </row>
    <row r="6" spans="1:4" x14ac:dyDescent="0.35">
      <c r="A6" t="s">
        <v>27</v>
      </c>
      <c r="B6" t="s">
        <v>5</v>
      </c>
      <c r="C6" s="2">
        <v>0</v>
      </c>
      <c r="D6" t="s">
        <v>2</v>
      </c>
    </row>
    <row r="7" spans="1:4" x14ac:dyDescent="0.35">
      <c r="A7" t="s">
        <v>24</v>
      </c>
      <c r="B7" t="s">
        <v>6</v>
      </c>
      <c r="C7" s="3">
        <f>SUM(C4:C6)</f>
        <v>3</v>
      </c>
    </row>
    <row r="9" spans="1:4" x14ac:dyDescent="0.35">
      <c r="A9" t="s">
        <v>28</v>
      </c>
      <c r="B9" t="s">
        <v>7</v>
      </c>
      <c r="C9" s="2">
        <v>1</v>
      </c>
    </row>
    <row r="11" spans="1:4" x14ac:dyDescent="0.35">
      <c r="A11" t="s">
        <v>29</v>
      </c>
      <c r="B11" t="s">
        <v>8</v>
      </c>
      <c r="C11" s="2">
        <v>50</v>
      </c>
    </row>
    <row r="13" spans="1:4" x14ac:dyDescent="0.35">
      <c r="A13" t="s">
        <v>30</v>
      </c>
      <c r="B13" t="s">
        <v>9</v>
      </c>
      <c r="C13" s="3">
        <f>SUM(C7,C9,C11)</f>
        <v>54</v>
      </c>
    </row>
    <row r="15" spans="1:4" x14ac:dyDescent="0.35">
      <c r="A15" t="s">
        <v>31</v>
      </c>
      <c r="B15" t="s">
        <v>12</v>
      </c>
      <c r="C15" s="3">
        <f>1/((2*PI()*C2*1000000)^2 * (C13*0.000000000001))</f>
        <v>2.2310561422102823E-6</v>
      </c>
      <c r="D15" t="s">
        <v>10</v>
      </c>
    </row>
    <row r="16" spans="1:4" x14ac:dyDescent="0.35">
      <c r="B16" s="1" t="s">
        <v>12</v>
      </c>
      <c r="C16" s="4">
        <f>C15*1000000</f>
        <v>2.2310561422102824</v>
      </c>
      <c r="D16" s="1" t="s">
        <v>11</v>
      </c>
    </row>
    <row r="18" spans="1:4" x14ac:dyDescent="0.35">
      <c r="A18" t="s">
        <v>32</v>
      </c>
      <c r="B18" t="s">
        <v>13</v>
      </c>
      <c r="C18" s="2">
        <v>3.8</v>
      </c>
      <c r="D18" t="s">
        <v>21</v>
      </c>
    </row>
    <row r="19" spans="1:4" x14ac:dyDescent="0.35">
      <c r="A19" t="s">
        <v>33</v>
      </c>
      <c r="B19" t="s">
        <v>14</v>
      </c>
      <c r="C19" s="2">
        <v>0.05</v>
      </c>
      <c r="D19" t="s">
        <v>21</v>
      </c>
    </row>
    <row r="20" spans="1:4" x14ac:dyDescent="0.35">
      <c r="A20" t="s">
        <v>34</v>
      </c>
      <c r="B20" t="s">
        <v>15</v>
      </c>
      <c r="C20" s="2">
        <v>0.03</v>
      </c>
      <c r="D20" t="s">
        <v>21</v>
      </c>
    </row>
    <row r="21" spans="1:4" x14ac:dyDescent="0.35">
      <c r="A21" t="s">
        <v>35</v>
      </c>
      <c r="B21" t="s">
        <v>16</v>
      </c>
      <c r="C21" s="2">
        <v>6</v>
      </c>
    </row>
    <row r="22" spans="1:4" x14ac:dyDescent="0.35">
      <c r="A22" t="s">
        <v>36</v>
      </c>
      <c r="B22" t="s">
        <v>18</v>
      </c>
      <c r="C22" s="2">
        <v>1.8</v>
      </c>
    </row>
    <row r="23" spans="1:4" x14ac:dyDescent="0.35">
      <c r="A23" t="s">
        <v>37</v>
      </c>
      <c r="B23" t="s">
        <v>19</v>
      </c>
      <c r="C23" s="3">
        <f>C18-C21*(C20+C19)</f>
        <v>3.32</v>
      </c>
      <c r="D23" t="s">
        <v>21</v>
      </c>
    </row>
    <row r="24" spans="1:4" x14ac:dyDescent="0.35">
      <c r="A24" t="s">
        <v>38</v>
      </c>
      <c r="B24" t="s">
        <v>20</v>
      </c>
      <c r="C24" s="3">
        <f>C23*PI()</f>
        <v>10.430087609918113</v>
      </c>
      <c r="D24" t="s">
        <v>21</v>
      </c>
    </row>
    <row r="25" spans="1:4" x14ac:dyDescent="0.35">
      <c r="A25" t="s">
        <v>39</v>
      </c>
      <c r="B25" t="s">
        <v>17</v>
      </c>
      <c r="C25" s="3">
        <f>(2*(C19+C20))/PI()</f>
        <v>5.0929581789406514E-2</v>
      </c>
      <c r="D25" t="s">
        <v>21</v>
      </c>
    </row>
    <row r="27" spans="1:4" x14ac:dyDescent="0.35">
      <c r="B27" t="s">
        <v>22</v>
      </c>
      <c r="C27" s="3">
        <f>2*C24*(LN(C24/C25)-1.07)*C21^C22</f>
        <v>2231.4341399897339</v>
      </c>
      <c r="D27" t="s">
        <v>23</v>
      </c>
    </row>
    <row r="28" spans="1:4" x14ac:dyDescent="0.35">
      <c r="B28" s="1" t="s">
        <v>22</v>
      </c>
      <c r="C28" s="4">
        <f>C27/1000</f>
        <v>2.2314341399897337</v>
      </c>
      <c r="D28" s="1" t="s">
        <v>11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488B-1E47-405C-880F-FF910476DD26}">
  <dimension ref="A2:F39"/>
  <sheetViews>
    <sheetView tabSelected="1" zoomScale="79" workbookViewId="0">
      <selection activeCell="A21" sqref="A21:XFD21"/>
    </sheetView>
  </sheetViews>
  <sheetFormatPr baseColWidth="10" defaultRowHeight="14.5" x14ac:dyDescent="0.35"/>
  <cols>
    <col min="1" max="1" width="37.26953125" customWidth="1"/>
    <col min="3" max="3" width="38.7265625" style="3" customWidth="1"/>
  </cols>
  <sheetData>
    <row r="2" spans="1:4" x14ac:dyDescent="0.35">
      <c r="B2" t="s">
        <v>0</v>
      </c>
      <c r="C2" s="2">
        <v>14.5</v>
      </c>
      <c r="D2" t="s">
        <v>1</v>
      </c>
    </row>
    <row r="4" spans="1:4" x14ac:dyDescent="0.35">
      <c r="A4" t="s">
        <v>25</v>
      </c>
      <c r="B4" t="s">
        <v>4</v>
      </c>
      <c r="C4" s="2">
        <v>3</v>
      </c>
      <c r="D4" t="s">
        <v>2</v>
      </c>
    </row>
    <row r="5" spans="1:4" x14ac:dyDescent="0.35">
      <c r="A5" t="s">
        <v>26</v>
      </c>
      <c r="B5" t="s">
        <v>3</v>
      </c>
      <c r="C5" s="2">
        <v>0</v>
      </c>
      <c r="D5" t="s">
        <v>2</v>
      </c>
    </row>
    <row r="6" spans="1:4" x14ac:dyDescent="0.35">
      <c r="A6" t="s">
        <v>27</v>
      </c>
      <c r="B6" t="s">
        <v>5</v>
      </c>
      <c r="C6" s="2">
        <v>0</v>
      </c>
      <c r="D6" t="s">
        <v>2</v>
      </c>
    </row>
    <row r="7" spans="1:4" x14ac:dyDescent="0.35">
      <c r="A7" t="s">
        <v>24</v>
      </c>
      <c r="B7" t="s">
        <v>6</v>
      </c>
      <c r="C7" s="3">
        <f>SUM(C4:C6)</f>
        <v>3</v>
      </c>
    </row>
    <row r="9" spans="1:4" x14ac:dyDescent="0.35">
      <c r="A9" t="s">
        <v>28</v>
      </c>
      <c r="B9" t="s">
        <v>7</v>
      </c>
      <c r="C9" s="2">
        <v>1</v>
      </c>
    </row>
    <row r="11" spans="1:4" x14ac:dyDescent="0.35">
      <c r="A11" t="s">
        <v>29</v>
      </c>
      <c r="B11" t="s">
        <v>8</v>
      </c>
      <c r="C11" s="2">
        <v>50</v>
      </c>
    </row>
    <row r="13" spans="1:4" x14ac:dyDescent="0.35">
      <c r="A13" t="s">
        <v>30</v>
      </c>
      <c r="B13" t="s">
        <v>9</v>
      </c>
      <c r="C13" s="3">
        <f>SUM(C7,C9,C11)</f>
        <v>54</v>
      </c>
    </row>
    <row r="15" spans="1:4" x14ac:dyDescent="0.35">
      <c r="A15" t="s">
        <v>31</v>
      </c>
      <c r="B15" t="s">
        <v>12</v>
      </c>
      <c r="C15" s="6">
        <f>1/((2*PI()*C2*1000000)^2 * (C13*0.000000000001))</f>
        <v>2.2310561422102823E-6</v>
      </c>
      <c r="D15" t="s">
        <v>10</v>
      </c>
    </row>
    <row r="16" spans="1:4" x14ac:dyDescent="0.35">
      <c r="B16" s="1" t="s">
        <v>12</v>
      </c>
      <c r="C16" s="4">
        <f>C15*1000000</f>
        <v>2.2310561422102824</v>
      </c>
      <c r="D16" s="1" t="s">
        <v>11</v>
      </c>
    </row>
    <row r="18" spans="1:6" x14ac:dyDescent="0.35">
      <c r="A18" t="s">
        <v>59</v>
      </c>
      <c r="B18" t="s">
        <v>40</v>
      </c>
      <c r="C18" s="2">
        <v>1</v>
      </c>
      <c r="D18" t="s">
        <v>21</v>
      </c>
      <c r="E18" s="7">
        <f>a0*10</f>
        <v>10</v>
      </c>
      <c r="F18" t="s">
        <v>65</v>
      </c>
    </row>
    <row r="19" spans="1:6" x14ac:dyDescent="0.35">
      <c r="A19" t="s">
        <v>60</v>
      </c>
      <c r="B19" t="s">
        <v>41</v>
      </c>
      <c r="C19" s="2">
        <v>1.5</v>
      </c>
      <c r="D19" t="s">
        <v>21</v>
      </c>
      <c r="E19" s="7">
        <f>b0*10</f>
        <v>15</v>
      </c>
      <c r="F19" t="s">
        <v>65</v>
      </c>
    </row>
    <row r="20" spans="1:6" x14ac:dyDescent="0.35">
      <c r="A20" t="s">
        <v>42</v>
      </c>
      <c r="B20" t="s">
        <v>43</v>
      </c>
      <c r="C20" s="2">
        <v>3.5000000000000001E-3</v>
      </c>
      <c r="D20" t="s">
        <v>21</v>
      </c>
      <c r="E20" s="7"/>
    </row>
    <row r="21" spans="1:6" x14ac:dyDescent="0.35">
      <c r="A21" t="s">
        <v>33</v>
      </c>
      <c r="B21" t="s">
        <v>14</v>
      </c>
      <c r="C21" s="2">
        <v>1.4999999999999999E-2</v>
      </c>
      <c r="D21" t="s">
        <v>21</v>
      </c>
      <c r="E21" s="7">
        <f>w*10</f>
        <v>0.15</v>
      </c>
      <c r="F21" t="s">
        <v>65</v>
      </c>
    </row>
    <row r="22" spans="1:6" x14ac:dyDescent="0.35">
      <c r="A22" t="s">
        <v>44</v>
      </c>
      <c r="B22" t="s">
        <v>15</v>
      </c>
      <c r="C22" s="2">
        <v>1.7000000000000001E-2</v>
      </c>
      <c r="D22" t="s">
        <v>21</v>
      </c>
      <c r="E22">
        <f>g*10</f>
        <v>0.17</v>
      </c>
      <c r="F22" t="s">
        <v>65</v>
      </c>
    </row>
    <row r="23" spans="1:6" x14ac:dyDescent="0.35">
      <c r="A23" t="s">
        <v>35</v>
      </c>
      <c r="B23" t="s">
        <v>45</v>
      </c>
      <c r="C23" s="5">
        <v>12</v>
      </c>
    </row>
    <row r="24" spans="1:6" x14ac:dyDescent="0.35">
      <c r="A24" t="s">
        <v>36</v>
      </c>
      <c r="B24" t="s">
        <v>18</v>
      </c>
      <c r="C24" s="2">
        <v>1.8</v>
      </c>
    </row>
    <row r="25" spans="1:6" x14ac:dyDescent="0.35">
      <c r="A25" t="s">
        <v>39</v>
      </c>
      <c r="B25" t="s">
        <v>17</v>
      </c>
      <c r="C25" s="3">
        <f>(2*(t+w))/pi</f>
        <v>1.1777465788800255E-2</v>
      </c>
      <c r="D25" t="s">
        <v>21</v>
      </c>
    </row>
    <row r="26" spans="1:6" x14ac:dyDescent="0.35">
      <c r="A26" t="s">
        <v>46</v>
      </c>
      <c r="B26" t="s">
        <v>47</v>
      </c>
      <c r="C26" s="3">
        <f>a0-Nc*(g+w)</f>
        <v>0.61599999999999999</v>
      </c>
      <c r="D26" t="s">
        <v>21</v>
      </c>
    </row>
    <row r="27" spans="1:6" x14ac:dyDescent="0.35">
      <c r="A27" t="s">
        <v>48</v>
      </c>
      <c r="B27" t="s">
        <v>49</v>
      </c>
      <c r="C27" s="3">
        <f>b0-Nc*(g+w)</f>
        <v>1.1160000000000001</v>
      </c>
      <c r="D27" t="s">
        <v>21</v>
      </c>
    </row>
    <row r="28" spans="1:6" x14ac:dyDescent="0.35">
      <c r="A28" t="s">
        <v>54</v>
      </c>
      <c r="B28" t="s">
        <v>55</v>
      </c>
      <c r="C28" s="6">
        <f>4*pi*0.000000001</f>
        <v>1.2566370614359173E-8</v>
      </c>
      <c r="D28" t="s">
        <v>58</v>
      </c>
    </row>
    <row r="29" spans="1:6" x14ac:dyDescent="0.35">
      <c r="A29" t="s">
        <v>56</v>
      </c>
      <c r="B29" t="s">
        <v>57</v>
      </c>
      <c r="C29" s="3">
        <f>PI()</f>
        <v>3.1415926535897931</v>
      </c>
    </row>
    <row r="30" spans="1:6" x14ac:dyDescent="0.35">
      <c r="A30" t="s">
        <v>61</v>
      </c>
      <c r="B30" t="s">
        <v>62</v>
      </c>
      <c r="C30" s="3">
        <f>a0-2*(Nc*w + (Nc -1)*g)</f>
        <v>0.26600000000000001</v>
      </c>
      <c r="D30" t="s">
        <v>21</v>
      </c>
    </row>
    <row r="31" spans="1:6" x14ac:dyDescent="0.35">
      <c r="A31" t="s">
        <v>63</v>
      </c>
      <c r="B31" t="s">
        <v>64</v>
      </c>
      <c r="C31" s="3">
        <f>b0-2*(Nc*w + (Nc -1)*g)</f>
        <v>0.76600000000000001</v>
      </c>
      <c r="D31" t="s">
        <v>21</v>
      </c>
    </row>
    <row r="32" spans="1:6" x14ac:dyDescent="0.35">
      <c r="B32" t="s">
        <v>50</v>
      </c>
      <c r="C32" s="3">
        <f>aavg * LN((2*aavg * bavg)/(d*(aavg+SQRT(POWER(aavg,2)+POWER(bavg,2)))))</f>
        <v>2.5397674339926586</v>
      </c>
    </row>
    <row r="33" spans="2:4" x14ac:dyDescent="0.35">
      <c r="B33" t="s">
        <v>51</v>
      </c>
      <c r="C33" s="3">
        <f>bavg * LN((2*aavg * bavg)/(d*(bavg+SQRT(POWER(aavg,2)+POWER(bavg,2)))))</f>
        <v>4.3394122757391136</v>
      </c>
    </row>
    <row r="34" spans="2:4" x14ac:dyDescent="0.35">
      <c r="B34" t="s">
        <v>52</v>
      </c>
      <c r="C34" s="3">
        <f>2*(aavg + bavg - SQRT(POWER(aavg,2) + POWER(bavg,2)))</f>
        <v>0.91455927701780082</v>
      </c>
    </row>
    <row r="35" spans="2:4" x14ac:dyDescent="0.35">
      <c r="B35" t="s">
        <v>53</v>
      </c>
      <c r="C35" s="3">
        <f>(aavg + bavg) / 4</f>
        <v>0.43300000000000005</v>
      </c>
    </row>
    <row r="37" spans="2:4" x14ac:dyDescent="0.35">
      <c r="B37" t="s">
        <v>22</v>
      </c>
      <c r="C37" s="6">
        <f>(m0/pi)*(x1_+x2_-x3_+x4_)*POWER(Nc,p)</f>
        <v>2.2418404670768045E-6</v>
      </c>
      <c r="D37" t="s">
        <v>10</v>
      </c>
    </row>
    <row r="38" spans="2:4" x14ac:dyDescent="0.35">
      <c r="C38" s="3">
        <f>L_calc_H*1000000000</f>
        <v>2241.8404670768045</v>
      </c>
      <c r="D38" t="s">
        <v>23</v>
      </c>
    </row>
    <row r="39" spans="2:4" x14ac:dyDescent="0.35">
      <c r="B39" s="1" t="s">
        <v>22</v>
      </c>
      <c r="C39" s="4">
        <f>L_calc_H*1000000</f>
        <v>2.2418404670768046</v>
      </c>
      <c r="D39" s="1" t="s">
        <v>11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17</vt:i4>
      </vt:variant>
    </vt:vector>
  </HeadingPairs>
  <TitlesOfParts>
    <vt:vector size="19" baseType="lpstr">
      <vt:lpstr>Rev. 1</vt:lpstr>
      <vt:lpstr>Rev. 2</vt:lpstr>
      <vt:lpstr>a0</vt:lpstr>
      <vt:lpstr>aavg</vt:lpstr>
      <vt:lpstr>b0</vt:lpstr>
      <vt:lpstr>bavg</vt:lpstr>
      <vt:lpstr>d</vt:lpstr>
      <vt:lpstr>g</vt:lpstr>
      <vt:lpstr>L_calc_H</vt:lpstr>
      <vt:lpstr>m0</vt:lpstr>
      <vt:lpstr>Nc</vt:lpstr>
      <vt:lpstr>p</vt:lpstr>
      <vt:lpstr>pi</vt:lpstr>
      <vt:lpstr>t</vt:lpstr>
      <vt:lpstr>w</vt:lpstr>
      <vt:lpstr>x1_</vt:lpstr>
      <vt:lpstr>x2_</vt:lpstr>
      <vt:lpstr>x3_</vt:lpstr>
      <vt:lpstr>x4_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Roth</dc:creator>
  <cp:lastModifiedBy>Simon Roth</cp:lastModifiedBy>
  <dcterms:created xsi:type="dcterms:W3CDTF">2025-11-12T14:18:03Z</dcterms:created>
  <dcterms:modified xsi:type="dcterms:W3CDTF">2026-02-28T21:51:49Z</dcterms:modified>
</cp:coreProperties>
</file>